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amp Model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Spend Reallo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0.00"/>
    <numFmt numFmtId="166" formatCode="&quot;$&quot;0.000"/>
    <numFmt numFmtId="167" formatCode="&quot;$&quot;#,##0"/>
  </numFmts>
  <fonts count="12">
    <font>
      <name val="Calibri"/>
      <family val="2"/>
      <color theme="1"/>
      <sz val="11"/>
      <scheme val="minor"/>
    </font>
    <font>
      <name val="Calibri"/>
      <b val="1"/>
      <color rgb="001F2430"/>
      <sz val="16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1F2430"/>
      <sz val="10"/>
    </font>
    <font>
      <name val="Calibri"/>
      <color rgb="001F2430"/>
      <sz val="10"/>
    </font>
    <font>
      <name val="Calibri"/>
      <b val="1"/>
      <color rgb="009A3412"/>
      <sz val="10"/>
    </font>
    <font>
      <name val="Calibri"/>
      <b val="1"/>
      <color rgb="002E5AAC"/>
      <sz val="10"/>
    </font>
    <font>
      <b val="1"/>
      <color rgb="00B5761A"/>
      <sz val="10"/>
    </font>
    <font>
      <b val="1"/>
      <color rgb="00FFFFFF"/>
      <sz val="9"/>
    </font>
    <font>
      <b val="1"/>
      <color rgb="00FFFFFF"/>
      <sz val="10"/>
    </font>
    <font>
      <b val="1"/>
      <color rgb="001F2430"/>
      <sz val="10"/>
    </font>
  </fonts>
  <fills count="7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F2F4F7"/>
      </patternFill>
    </fill>
    <fill>
      <patternFill patternType="solid">
        <fgColor rgb="00FFF7ED"/>
      </patternFill>
    </fill>
    <fill>
      <patternFill patternType="solid">
        <fgColor rgb="000E7C61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1" pivotButton="0" quotePrefix="0" xfId="0"/>
    <xf numFmtId="0" fontId="5" fillId="0" borderId="0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5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0" fillId="5" borderId="0" pivotButton="0" quotePrefix="0" xfId="0"/>
    <xf numFmtId="10" fontId="7" fillId="6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167" fontId="6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10" fillId="5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2" fontId="5" fillId="0" borderId="1" applyAlignment="1" pivotButton="0" quotePrefix="0" xfId="0">
      <alignment horizontal="center" vertical="center"/>
    </xf>
    <xf numFmtId="0" fontId="11" fillId="0" borderId="0" pivotButton="0" quotePrefix="0" xfId="0"/>
    <xf numFmtId="0" fontId="5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52" customWidth="1" min="4" max="4"/>
  </cols>
  <sheetData>
    <row r="1">
      <c r="A1" s="1" t="inlineStr">
        <is>
          <t>TouchRetouch — ASA Funnel &amp; ROAS Model</t>
        </is>
      </c>
    </row>
    <row r="2">
      <c r="A2" s="2" t="inlineStr">
        <is>
          <t>All orange cells are editable inputs. Blue cells are calculated. Model uses first-year ARPPU as LTV base.</t>
        </is>
      </c>
    </row>
    <row r="4">
      <c r="A4" s="3" t="inlineStr">
        <is>
          <t xml:space="preserve">  CORE FUNNEL ASSUMPTIONS (edit these)</t>
        </is>
      </c>
      <c r="B4" s="4" t="n"/>
      <c r="C4" s="4" t="n"/>
      <c r="D4" s="4" t="n"/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Note / source</t>
        </is>
      </c>
    </row>
    <row r="6">
      <c r="A6" s="6" t="inlineStr">
        <is>
          <t>Install → Trial</t>
        </is>
      </c>
      <c r="B6" s="7" t="n">
        <v>0.15</v>
      </c>
      <c r="C6" s="8" t="inlineStr">
        <is>
          <t>%</t>
        </is>
      </c>
      <c r="D6" s="9" t="inlineStr">
        <is>
          <t>Given (paid funnel)</t>
        </is>
      </c>
    </row>
    <row r="7">
      <c r="A7" s="6" t="inlineStr">
        <is>
          <t>Trial → Paid</t>
        </is>
      </c>
      <c r="B7" s="7" t="n">
        <v>0.2</v>
      </c>
      <c r="C7" s="8" t="inlineStr">
        <is>
          <t>%</t>
        </is>
      </c>
      <c r="D7" s="9" t="inlineStr">
        <is>
          <t>Given (paid funnel)</t>
        </is>
      </c>
    </row>
    <row r="8">
      <c r="A8" s="6" t="inlineStr">
        <is>
          <t>ARPPU (Y1, net of Apple fee)</t>
        </is>
      </c>
      <c r="B8" s="10" t="n">
        <v>22.2</v>
      </c>
      <c r="C8" s="8" t="inlineStr">
        <is>
          <t>$</t>
        </is>
      </c>
      <c r="D8" s="9" t="inlineStr">
        <is>
          <t>Given</t>
        </is>
      </c>
    </row>
    <row r="9">
      <c r="A9" s="6" t="inlineStr">
        <is>
          <t>D30 revenue recognition (share of Y1)</t>
        </is>
      </c>
      <c r="B9" s="7" t="n">
        <v>0.45</v>
      </c>
      <c r="C9" s="8" t="inlineStr">
        <is>
          <t>%</t>
        </is>
      </c>
      <c r="D9" s="9" t="inlineStr">
        <is>
          <t>INFO ONLY (not in gate) — pull real D30/Y1 curve from RevenueCat</t>
        </is>
      </c>
    </row>
    <row r="10">
      <c r="A10" s="6" t="inlineStr">
        <is>
          <t>Min ROAS gate for scaling (D30)</t>
        </is>
      </c>
      <c r="B10" s="11" t="n">
        <v>1.25</v>
      </c>
      <c r="C10" s="8" t="inlineStr">
        <is>
          <t>x</t>
        </is>
      </c>
      <c r="D10" s="9" t="inlineStr">
        <is>
          <t>Given requirement</t>
        </is>
      </c>
    </row>
    <row r="12">
      <c r="A12" s="12" t="inlineStr">
        <is>
          <t xml:space="preserve">  DERIVED UNIT ECONOMICS (calculated)</t>
        </is>
      </c>
      <c r="B12" s="13" t="n"/>
      <c r="C12" s="13" t="n"/>
      <c r="D12" s="13" t="n"/>
    </row>
    <row r="13">
      <c r="A13" s="6" t="inlineStr">
        <is>
          <t>Payers per install</t>
        </is>
      </c>
      <c r="B13" s="14">
        <f>$B$6*$B$7</f>
        <v/>
      </c>
      <c r="D13" s="9">
        <f> trial% × paid%</f>
        <v/>
      </c>
    </row>
    <row r="14">
      <c r="A14" s="6" t="inlineStr">
        <is>
          <t>Revenue per install (Y1)</t>
        </is>
      </c>
      <c r="B14" s="15">
        <f>$B$13*$B$8</f>
        <v/>
      </c>
      <c r="D14" s="9">
        <f> payers/install × ARPPU</f>
        <v/>
      </c>
    </row>
    <row r="15">
      <c r="A15" s="6" t="inlineStr">
        <is>
          <t>Break-even CPI (ROAS 100%)</t>
        </is>
      </c>
      <c r="B15" s="15">
        <f>$B$14</f>
        <v/>
      </c>
      <c r="D15" s="9">
        <f> revenue per install</f>
        <v/>
      </c>
    </row>
    <row r="16">
      <c r="A16" s="6" t="inlineStr">
        <is>
          <t>Target CPI for min ROAS</t>
        </is>
      </c>
      <c r="B16" s="15">
        <f>$B$14/$B$10</f>
        <v/>
      </c>
      <c r="D16" s="9">
        <f> rev/install ÷ min ROAS</f>
        <v/>
      </c>
    </row>
    <row r="18">
      <c r="A18" s="16" t="inlineStr">
        <is>
          <t>KEY INSIGHT: the whole task = drop blended CPI to ≤ Target CPI and hold it while doubling spend.</t>
        </is>
      </c>
    </row>
  </sheetData>
  <mergeCells count="4">
    <mergeCell ref="A12:D12"/>
    <mergeCell ref="A4:D4"/>
    <mergeCell ref="A2:D2"/>
    <mergeCell ref="A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9" customWidth="1" min="4" max="4"/>
    <col width="14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4" customWidth="1" min="11" max="11"/>
    <col width="14" customWidth="1" min="12" max="12"/>
    <col width="10" customWidth="1" min="13" max="13"/>
    <col width="10" customWidth="1" min="14" max="14"/>
    <col width="13" customWidth="1" min="15" max="15"/>
  </cols>
  <sheetData>
    <row r="1">
      <c r="A1" s="1" t="inlineStr">
        <is>
          <t>Spend → Taps → Installs → Trials → Payers → Revenue → ROAS</t>
        </is>
      </c>
    </row>
    <row r="2">
      <c r="A2" s="2" t="inlineStr">
        <is>
          <t>Orange = editable driver (spend, CPT, CR). Everything else is a live formula. Story: bank efficiency in M1, then scale into the headroom.</t>
        </is>
      </c>
    </row>
    <row r="4">
      <c r="A4" s="17" t="inlineStr">
        <is>
          <t>Phase / Month</t>
        </is>
      </c>
      <c r="B4" s="17" t="inlineStr">
        <is>
          <t>Spend ($)</t>
        </is>
      </c>
      <c r="C4" s="17" t="inlineStr">
        <is>
          <t>Blended CPT ($)</t>
        </is>
      </c>
      <c r="D4" s="17" t="inlineStr">
        <is>
          <t>TTR</t>
        </is>
      </c>
      <c r="E4" s="17" t="inlineStr">
        <is>
          <t>CR tap→install</t>
        </is>
      </c>
      <c r="F4" s="17" t="inlineStr">
        <is>
          <t>CPI ($)</t>
        </is>
      </c>
      <c r="G4" s="17" t="inlineStr">
        <is>
          <t>Taps</t>
        </is>
      </c>
      <c r="H4" s="17" t="inlineStr">
        <is>
          <t>Installs</t>
        </is>
      </c>
      <c r="I4" s="17" t="inlineStr">
        <is>
          <t>Trials</t>
        </is>
      </c>
      <c r="J4" s="17" t="inlineStr">
        <is>
          <t>Payers</t>
        </is>
      </c>
      <c r="K4" s="17" t="inlineStr">
        <is>
          <t>Revenue ($)</t>
        </is>
      </c>
      <c r="L4" s="17" t="inlineStr">
        <is>
          <t>D30 cash (info)</t>
        </is>
      </c>
      <c r="M4" s="17" t="inlineStr">
        <is>
          <t>ROAS (gate)</t>
        </is>
      </c>
      <c r="N4" s="17" t="inlineStr">
        <is>
          <t>D30 cash ROAS</t>
        </is>
      </c>
      <c r="O4" s="17" t="inlineStr">
        <is>
          <t>Pass gate?</t>
        </is>
      </c>
    </row>
    <row r="5">
      <c r="A5" s="6" t="inlineStr">
        <is>
          <t>M0 — Baseline (current)</t>
        </is>
      </c>
      <c r="B5" s="18" t="n">
        <v>35000</v>
      </c>
      <c r="C5" s="19" t="n">
        <v>0.2564</v>
      </c>
      <c r="D5" s="7" t="n">
        <v>0.07000000000000001</v>
      </c>
      <c r="E5" s="7" t="n">
        <v>0.385</v>
      </c>
      <c r="F5" s="20">
        <f>C5/E5</f>
        <v/>
      </c>
      <c r="G5" s="21">
        <f>B5/C5</f>
        <v/>
      </c>
      <c r="H5" s="21">
        <f>G5*E5</f>
        <v/>
      </c>
      <c r="I5" s="21">
        <f>H5*Assumptions!$B$6</f>
        <v/>
      </c>
      <c r="J5" s="21">
        <f>I5*Assumptions!$B$7</f>
        <v/>
      </c>
      <c r="K5" s="22">
        <f>J5*Assumptions!$B$8</f>
        <v/>
      </c>
      <c r="L5" s="22">
        <f>K5*Assumptions!$B$9</f>
        <v/>
      </c>
      <c r="M5" s="23">
        <f>K5/B5</f>
        <v/>
      </c>
      <c r="N5" s="23">
        <f>L5/B5</f>
        <v/>
      </c>
      <c r="O5" s="24">
        <f>IF(M5&gt;=Assumptions!$B$10,"YES","NO")</f>
        <v/>
      </c>
    </row>
    <row r="6">
      <c r="A6" s="6" t="inlineStr">
        <is>
          <t>M1 — Bank efficiency</t>
        </is>
      </c>
      <c r="B6" s="18" t="n">
        <v>35000</v>
      </c>
      <c r="C6" s="19" t="n">
        <v>0.224</v>
      </c>
      <c r="D6" s="7" t="n">
        <v>0.075</v>
      </c>
      <c r="E6" s="7" t="n">
        <v>0.4</v>
      </c>
      <c r="F6" s="20">
        <f>C6/E6</f>
        <v/>
      </c>
      <c r="G6" s="21">
        <f>B6/C6</f>
        <v/>
      </c>
      <c r="H6" s="21">
        <f>G6*E6</f>
        <v/>
      </c>
      <c r="I6" s="21">
        <f>H6*Assumptions!$B$6</f>
        <v/>
      </c>
      <c r="J6" s="21">
        <f>I6*Assumptions!$B$7</f>
        <v/>
      </c>
      <c r="K6" s="22">
        <f>J6*Assumptions!$B$8</f>
        <v/>
      </c>
      <c r="L6" s="22">
        <f>K6*Assumptions!$B$9</f>
        <v/>
      </c>
      <c r="M6" s="23">
        <f>K6/B6</f>
        <v/>
      </c>
      <c r="N6" s="23">
        <f>L6/B6</f>
        <v/>
      </c>
      <c r="O6" s="24">
        <f>IF(M6&gt;=Assumptions!$B$10,"YES","NO")</f>
        <v/>
      </c>
    </row>
    <row r="7">
      <c r="A7" s="6" t="inlineStr">
        <is>
          <t>M2 — Gate cleared</t>
        </is>
      </c>
      <c r="B7" s="18" t="n">
        <v>40000</v>
      </c>
      <c r="C7" s="19" t="n">
        <v>0.223</v>
      </c>
      <c r="D7" s="7" t="n">
        <v>0.078</v>
      </c>
      <c r="E7" s="7" t="n">
        <v>0.42</v>
      </c>
      <c r="F7" s="20">
        <f>C7/E7</f>
        <v/>
      </c>
      <c r="G7" s="21">
        <f>B7/C7</f>
        <v/>
      </c>
      <c r="H7" s="21">
        <f>G7*E7</f>
        <v/>
      </c>
      <c r="I7" s="21">
        <f>H7*Assumptions!$B$6</f>
        <v/>
      </c>
      <c r="J7" s="21">
        <f>I7*Assumptions!$B$7</f>
        <v/>
      </c>
      <c r="K7" s="22">
        <f>J7*Assumptions!$B$8</f>
        <v/>
      </c>
      <c r="L7" s="22">
        <f>K7*Assumptions!$B$9</f>
        <v/>
      </c>
      <c r="M7" s="23">
        <f>K7/B7</f>
        <v/>
      </c>
      <c r="N7" s="23">
        <f>L7/B7</f>
        <v/>
      </c>
      <c r="O7" s="24">
        <f>IF(M7&gt;=Assumptions!$B$10,"YES","NO")</f>
        <v/>
      </c>
    </row>
    <row r="8">
      <c r="A8" s="6" t="inlineStr">
        <is>
          <t>M3 — Scale above gate</t>
        </is>
      </c>
      <c r="B8" s="18" t="n">
        <v>55000</v>
      </c>
      <c r="C8" s="19" t="n">
        <v>0.2323</v>
      </c>
      <c r="D8" s="7" t="n">
        <v>0.08</v>
      </c>
      <c r="E8" s="7" t="n">
        <v>0.44</v>
      </c>
      <c r="F8" s="20">
        <f>C8/E8</f>
        <v/>
      </c>
      <c r="G8" s="21">
        <f>B8/C8</f>
        <v/>
      </c>
      <c r="H8" s="21">
        <f>G8*E8</f>
        <v/>
      </c>
      <c r="I8" s="21">
        <f>H8*Assumptions!$B$6</f>
        <v/>
      </c>
      <c r="J8" s="21">
        <f>I8*Assumptions!$B$7</f>
        <v/>
      </c>
      <c r="K8" s="22">
        <f>J8*Assumptions!$B$8</f>
        <v/>
      </c>
      <c r="L8" s="22">
        <f>K8*Assumptions!$B$9</f>
        <v/>
      </c>
      <c r="M8" s="23">
        <f>K8/B8</f>
        <v/>
      </c>
      <c r="N8" s="23">
        <f>L8/B8</f>
        <v/>
      </c>
      <c r="O8" s="24">
        <f>IF(M8&gt;=Assumptions!$B$10,"YES","NO")</f>
        <v/>
      </c>
    </row>
    <row r="9">
      <c r="A9" s="6" t="inlineStr">
        <is>
          <t>Q2 — Target</t>
        </is>
      </c>
      <c r="B9" s="18" t="n">
        <v>70000</v>
      </c>
      <c r="C9" s="19" t="n">
        <v>0.2363</v>
      </c>
      <c r="D9" s="7" t="n">
        <v>0.082</v>
      </c>
      <c r="E9" s="7" t="n">
        <v>0.45</v>
      </c>
      <c r="F9" s="20">
        <f>C9/E9</f>
        <v/>
      </c>
      <c r="G9" s="21">
        <f>B9/C9</f>
        <v/>
      </c>
      <c r="H9" s="21">
        <f>G9*E9</f>
        <v/>
      </c>
      <c r="I9" s="21">
        <f>H9*Assumptions!$B$6</f>
        <v/>
      </c>
      <c r="J9" s="21">
        <f>I9*Assumptions!$B$7</f>
        <v/>
      </c>
      <c r="K9" s="22">
        <f>J9*Assumptions!$B$8</f>
        <v/>
      </c>
      <c r="L9" s="22">
        <f>K9*Assumptions!$B$9</f>
        <v/>
      </c>
      <c r="M9" s="23">
        <f>K9/B9</f>
        <v/>
      </c>
      <c r="N9" s="23">
        <f>L9/B9</f>
        <v/>
      </c>
      <c r="O9" s="24">
        <f>IF(M9&gt;=Assumptions!$B$10,"YES","NO")</f>
        <v/>
      </c>
    </row>
    <row r="11">
      <c r="A11" s="25" t="inlineStr">
        <is>
          <t>Notes:</t>
        </is>
      </c>
    </row>
    <row r="12">
      <c r="A12" s="2" t="inlineStr">
        <is>
          <t>• ROAS (gate) uses first-year ARPPU as revenue base — same basis as the task's '~100% at month 1' anchor. Gate = 125%.</t>
        </is>
      </c>
    </row>
    <row r="13">
      <c r="A13" s="2" t="inlineStr">
        <is>
          <t>• M1 holds spend at $35K but cuts brand overbid + junk geos → blended CPI 0.666→0.560 → ROAS clears gate BEFORE scaling.</t>
        </is>
      </c>
    </row>
    <row r="14">
      <c r="A14" s="2" t="inlineStr">
        <is>
          <t>• Base plan hits 125% on CPI efficiency ALONE (funnel held flat). Trial→Paid / CR uplift from CPP+PPO+paywall is UPSIDE, not baked in.</t>
        </is>
      </c>
    </row>
    <row r="15">
      <c r="A15" s="2" t="inlineStr">
        <is>
          <t>• The gate binds at the margin where added generic CPT rises faster than CR gains. Scale pace = pace of banked efficiency.</t>
        </is>
      </c>
    </row>
    <row r="16">
      <c r="A16" s="2" t="inlineStr">
        <is>
          <t>• 'D30 cash ROAS' is informational: real cash by day 30 = ROAS × D30 recognition ratio (Assumptions). Replace 0.45 with RevenueCat's real D30/Y1 curve.</t>
        </is>
      </c>
    </row>
  </sheetData>
  <mergeCells count="6">
    <mergeCell ref="A15:O15"/>
    <mergeCell ref="A12:O12"/>
    <mergeCell ref="A2:O2"/>
    <mergeCell ref="A16:O16"/>
    <mergeCell ref="A13:O13"/>
    <mergeCell ref="A14:O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1" t="inlineStr">
        <is>
          <t>Sensitivity — which single metric moves ROAS most?</t>
        </is>
      </c>
    </row>
    <row r="2">
      <c r="A2" s="2" t="inlineStr">
        <is>
          <t>ROAS = (CR_tap→install × Trial% × Paid% × ARPPU) ÷ CPT. Chain is multiplicative → each metric has EQUAL % elasticity.</t>
        </is>
      </c>
    </row>
    <row r="4">
      <c r="A4" s="26" t="inlineStr">
        <is>
          <t>Lever</t>
        </is>
      </c>
      <c r="B4" s="26" t="inlineStr">
        <is>
          <t>Baseline</t>
        </is>
      </c>
      <c r="C4" s="26" t="inlineStr">
        <is>
          <t>+10% improve</t>
        </is>
      </c>
      <c r="D4" s="26" t="inlineStr">
        <is>
          <t>New ROAS Y1</t>
        </is>
      </c>
      <c r="E4" s="26" t="inlineStr">
        <is>
          <t>Controllability / headroom</t>
        </is>
      </c>
    </row>
    <row r="5">
      <c r="A5" s="6" t="inlineStr">
        <is>
          <t>CR tap→install</t>
        </is>
      </c>
      <c r="B5" s="27" t="n">
        <v>0.078</v>
      </c>
      <c r="C5" s="27">
        <f>B5*1.1</f>
        <v/>
      </c>
      <c r="D5" s="28" t="inlineStr">
        <is>
          <t>+10% ROAS</t>
        </is>
      </c>
      <c r="E5" s="29" t="inlineStr">
        <is>
          <t>UA-owned via CPP / PPO — high headroom</t>
        </is>
      </c>
    </row>
    <row r="6">
      <c r="A6" s="6" t="inlineStr">
        <is>
          <t>Trial → Paid</t>
        </is>
      </c>
      <c r="B6" s="27" t="n">
        <v>0.2</v>
      </c>
      <c r="C6" s="27">
        <f>B6*1.1</f>
        <v/>
      </c>
      <c r="D6" s="28" t="inlineStr">
        <is>
          <t>+10% ROAS</t>
        </is>
      </c>
      <c r="E6" s="29" t="inlineStr">
        <is>
          <t>Product/paywall — biggest headroom, needs product</t>
        </is>
      </c>
    </row>
    <row r="7">
      <c r="A7" s="6" t="inlineStr">
        <is>
          <t>Install → Trial</t>
        </is>
      </c>
      <c r="B7" s="27" t="n">
        <v>0.15</v>
      </c>
      <c r="C7" s="27">
        <f>B7*1.1</f>
        <v/>
      </c>
      <c r="D7" s="28" t="inlineStr">
        <is>
          <t>+10% ROAS</t>
        </is>
      </c>
      <c r="E7" s="29" t="inlineStr">
        <is>
          <t>Onboarding — shared with product</t>
        </is>
      </c>
    </row>
    <row r="8">
      <c r="A8" s="6" t="inlineStr">
        <is>
          <t>CPT (lower = better)</t>
        </is>
      </c>
      <c r="B8" s="30" t="n">
        <v>0.238</v>
      </c>
      <c r="C8" s="30">
        <f>B8*0.9</f>
        <v/>
      </c>
      <c r="D8" s="28" t="inlineStr">
        <is>
          <t>+10% ROAS</t>
        </is>
      </c>
      <c r="E8" s="29" t="inlineStr">
        <is>
          <t>UA-owned via structure/bids — fastest self-lever</t>
        </is>
      </c>
    </row>
    <row r="10">
      <c r="A10" s="31" t="inlineStr">
        <is>
          <t>Conclusion: elasticity is equal, so prioritise by headroom × controllability →</t>
        </is>
      </c>
    </row>
    <row r="11">
      <c r="A11" s="32" t="inlineStr">
        <is>
          <t>1) CPT efficiency (huge documented waste — fastest), 2) Trial→Paid (only 20%, most headroom), 3) tap→install CR via CPP/PPO.</t>
        </is>
      </c>
    </row>
  </sheetData>
  <mergeCells count="3">
    <mergeCell ref="A2:E2"/>
    <mergeCell ref="A11:E11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1" t="inlineStr">
        <is>
          <t>Current vs Target spend mix ($35K)</t>
        </is>
      </c>
    </row>
    <row r="2">
      <c r="A2" s="2" t="inlineStr">
        <is>
          <t>Reallocate away from brand overbid + junk multi-geo → into efficient US generic / competitor Search Results.</t>
        </is>
      </c>
    </row>
    <row r="4">
      <c r="A4" s="33" t="inlineStr">
        <is>
          <t>Bucket</t>
        </is>
      </c>
      <c r="B4" s="33" t="inlineStr">
        <is>
          <t>Current %</t>
        </is>
      </c>
      <c r="C4" s="33" t="inlineStr">
        <is>
          <t>Current $</t>
        </is>
      </c>
      <c r="D4" s="33" t="inlineStr">
        <is>
          <t>Target %</t>
        </is>
      </c>
      <c r="E4" s="33" t="inlineStr">
        <is>
          <t>Rationale</t>
        </is>
      </c>
    </row>
    <row r="5">
      <c r="A5" s="34" t="inlineStr">
        <is>
          <t>Brand</t>
        </is>
      </c>
      <c r="B5" s="35" t="n">
        <v>0.58</v>
      </c>
      <c r="C5" s="22">
        <f>B5*35000</f>
        <v/>
      </c>
      <c r="D5" s="23" t="n">
        <v>0.25</v>
      </c>
      <c r="E5" s="29" t="inlineStr">
        <is>
          <t>Cap bids to ~actual CPT; brand is partly cannibalised organic. Free budget.</t>
        </is>
      </c>
    </row>
    <row r="6">
      <c r="A6" s="34" t="inlineStr">
        <is>
          <t>Generic Core (US, exact)</t>
        </is>
      </c>
      <c r="B6" s="35" t="n">
        <v>0.2</v>
      </c>
      <c r="C6" s="22">
        <f>B6*35000</f>
        <v/>
      </c>
      <c r="D6" s="23" t="n">
        <v>0.34</v>
      </c>
      <c r="E6" s="29" t="inlineStr">
        <is>
          <t>Scale proven head/mid terms under CPA target.</t>
        </is>
      </c>
    </row>
    <row r="7">
      <c r="A7" s="34" t="inlineStr">
        <is>
          <t>Generic Discovery (SM+Broad)</t>
        </is>
      </c>
      <c r="B7" s="35" t="n">
        <v>0.11</v>
      </c>
      <c r="C7" s="22">
        <f>B7*35000</f>
        <v/>
      </c>
      <c r="D7" s="23" t="n">
        <v>0.15</v>
      </c>
      <c r="E7" s="29" t="inlineStr">
        <is>
          <t>Isolated, negatives from Core; harvest winners.</t>
        </is>
      </c>
    </row>
    <row r="8">
      <c r="A8" s="34" t="inlineStr">
        <is>
          <t>Competitor (Search Results)</t>
        </is>
      </c>
      <c r="B8" s="35" t="n">
        <v>0.01</v>
      </c>
      <c r="C8" s="22">
        <f>B8*35000</f>
        <v/>
      </c>
      <c r="D8" s="23" t="n">
        <v>0.12</v>
      </c>
      <c r="E8" s="29" t="inlineStr">
        <is>
          <t>New conquesting in Search Results (was PP-only, CPA €17).</t>
        </is>
      </c>
    </row>
    <row r="9">
      <c r="A9" s="34" t="inlineStr">
        <is>
          <t>Feature / multi-geo T1</t>
        </is>
      </c>
      <c r="B9" s="35" t="n">
        <v>0.1</v>
      </c>
      <c r="C9" s="22">
        <f>B9*35000</f>
        <v/>
      </c>
      <c r="D9" s="23" t="n">
        <v>0.14</v>
      </c>
      <c r="E9" s="29" t="inlineStr">
        <is>
          <t>Kill junk geos; US-isolate; fold feature into generic.</t>
        </is>
      </c>
    </row>
    <row r="10">
      <c r="A10" s="25" t="inlineStr">
        <is>
          <t>TOTAL</t>
        </is>
      </c>
      <c r="B10" s="36">
        <f>SUM(B5:B9)</f>
        <v/>
      </c>
      <c r="C10" s="37">
        <f>SUM(C5:C9)</f>
        <v/>
      </c>
      <c r="D10" s="36">
        <f>SUM(D5:D9)</f>
        <v/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2026-07-21T11:14:48Z</dcterms:created>
  <dcterms:modified xmlns:dcterms="http://purl.org/dc/terms/" xmlns:xsi="http://www.w3.org/2001/XMLSchema-instance" xsi:type="dcterms:W3CDTF">2026-07-21T11:14:48Z</dcterms:modified>
</cp:coreProperties>
</file>