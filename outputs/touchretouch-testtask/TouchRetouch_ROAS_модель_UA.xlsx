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пущення" sheetId="1" state="visible" r:id="rId1"/>
    <sheet xmlns:r="http://schemas.openxmlformats.org/officeDocument/2006/relationships" name="Модель" sheetId="2" state="visible" r:id="rId2"/>
    <sheet xmlns:r="http://schemas.openxmlformats.org/officeDocument/2006/relationships" name="Чутливість" sheetId="3" state="visible" r:id="rId3"/>
    <sheet xmlns:r="http://schemas.openxmlformats.org/officeDocument/2006/relationships" name="Перерозподі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0.00"/>
    <numFmt numFmtId="166" formatCode="&quot;$&quot;0.000"/>
    <numFmt numFmtId="167" formatCode="&quot;$&quot;#,##0"/>
  </numFmts>
  <fonts count="10">
    <font>
      <name val="Calibri"/>
      <family val="2"/>
      <color theme="1"/>
      <sz val="11"/>
      <scheme val="minor"/>
    </font>
    <font>
      <name val="Georgia"/>
      <b val="1"/>
      <color rgb="0023303B"/>
      <sz val="16"/>
    </font>
    <font>
      <name val="Calibri"/>
      <i val="1"/>
      <color rgb="006E6A63"/>
      <sz val="9"/>
    </font>
    <font>
      <name val="Georgia"/>
      <b val="1"/>
      <color rgb="00FFFFFF"/>
      <sz val="12"/>
    </font>
    <font>
      <name val="Calibri"/>
      <b val="1"/>
      <color rgb="0023303B"/>
      <sz val="10"/>
    </font>
    <font>
      <name val="Calibri"/>
      <color rgb="0023303B"/>
      <sz val="10"/>
    </font>
    <font>
      <name val="Calibri"/>
      <b val="1"/>
      <color rgb="009A3412"/>
      <sz val="10"/>
    </font>
    <font>
      <name val="Calibri"/>
      <b val="1"/>
      <color rgb="00C8542F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C8542F"/>
      </patternFill>
    </fill>
    <fill>
      <patternFill patternType="solid">
        <fgColor rgb="00F3ECE0"/>
      </patternFill>
    </fill>
    <fill>
      <patternFill patternType="solid">
        <fgColor rgb="00FFF7ED"/>
      </patternFill>
    </fill>
    <fill>
      <patternFill patternType="solid">
        <fgColor rgb="002E7D74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10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9" fillId="2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54" customWidth="1" min="4" max="4"/>
  </cols>
  <sheetData>
    <row r="1">
      <c r="A1" s="1" t="inlineStr">
        <is>
          <t>TouchRetouch — модель воронки та ROAS (Apple Search Ads)</t>
        </is>
      </c>
    </row>
    <row r="2">
      <c r="A2" s="2" t="inlineStr">
        <is>
          <t>Помаранчеві клітинки — редаговані вхідні. Сині — розраховані. Дохід рахується на базі ARPPU за перший рік.</t>
        </is>
      </c>
    </row>
    <row r="4">
      <c r="A4" s="3" t="inlineStr">
        <is>
          <t xml:space="preserve">  ОСНОВНІ ПРИПУЩЕННЯ ВОРОНКИ (редагуй ці)</t>
        </is>
      </c>
      <c r="B4" s="4" t="n"/>
      <c r="C4" s="4" t="n"/>
      <c r="D4" s="4" t="n"/>
    </row>
    <row r="5">
      <c r="A5" s="5" t="inlineStr">
        <is>
          <t>Показник</t>
        </is>
      </c>
      <c r="B5" s="5" t="inlineStr">
        <is>
          <t>Значення</t>
        </is>
      </c>
      <c r="C5" s="5" t="inlineStr">
        <is>
          <t>Од.</t>
        </is>
      </c>
      <c r="D5" s="5" t="inlineStr">
        <is>
          <t>Примітка / джерело</t>
        </is>
      </c>
    </row>
    <row r="6">
      <c r="A6" s="6" t="inlineStr">
        <is>
          <t>Інстал → Тріал</t>
        </is>
      </c>
      <c r="B6" s="7" t="n">
        <v>0.15</v>
      </c>
      <c r="C6" s="8" t="inlineStr">
        <is>
          <t>%</t>
        </is>
      </c>
      <c r="D6" s="9" t="inlineStr">
        <is>
          <t>Дано (платна воронка)</t>
        </is>
      </c>
    </row>
    <row r="7">
      <c r="A7" s="6" t="inlineStr">
        <is>
          <t>Тріал → Оплата</t>
        </is>
      </c>
      <c r="B7" s="7" t="n">
        <v>0.2</v>
      </c>
      <c r="C7" s="8" t="inlineStr">
        <is>
          <t>%</t>
        </is>
      </c>
      <c r="D7" s="9" t="inlineStr">
        <is>
          <t>Дано (платна воронка)</t>
        </is>
      </c>
    </row>
    <row r="8">
      <c r="A8" s="6" t="inlineStr">
        <is>
          <t>ARPPU (1-й рік, без комісії Apple)</t>
        </is>
      </c>
      <c r="B8" s="10" t="n">
        <v>22.2</v>
      </c>
      <c r="C8" s="8" t="inlineStr">
        <is>
          <t>$</t>
        </is>
      </c>
      <c r="D8" s="9" t="inlineStr">
        <is>
          <t>Дано</t>
        </is>
      </c>
    </row>
    <row r="9">
      <c r="A9" s="6" t="inlineStr">
        <is>
          <t>Визнання доходу на D30 (частка річного)</t>
        </is>
      </c>
      <c r="B9" s="7" t="n">
        <v>0.45</v>
      </c>
      <c r="C9" s="8" t="inlineStr">
        <is>
          <t>%</t>
        </is>
      </c>
      <c r="D9" s="9" t="inlineStr">
        <is>
          <t>ЛИШЕ ДОВІДКА (не в гейті) — взяти реальну криву D30/рік з RevenueCat</t>
        </is>
      </c>
    </row>
    <row r="10">
      <c r="A10" s="6" t="inlineStr">
        <is>
          <t>Мін. ROAS для масштабування (D30)</t>
        </is>
      </c>
      <c r="B10" s="11" t="n">
        <v>1.25</v>
      </c>
      <c r="C10" s="8" t="inlineStr">
        <is>
          <t>x</t>
        </is>
      </c>
      <c r="D10" s="9" t="inlineStr">
        <is>
          <t>Вимога з завдання</t>
        </is>
      </c>
    </row>
    <row r="12">
      <c r="A12" s="12" t="inlineStr">
        <is>
          <t xml:space="preserve">  ПОХІДНА ЮНІТ-ЕКОНОМІКА (розрахунок)</t>
        </is>
      </c>
      <c r="B12" s="13" t="n"/>
      <c r="C12" s="13" t="n"/>
      <c r="D12" s="13" t="n"/>
    </row>
    <row r="13">
      <c r="A13" s="6" t="inlineStr">
        <is>
          <t>Платників на інстал</t>
        </is>
      </c>
      <c r="B13" s="14">
        <f>$B$6*$B$7</f>
        <v/>
      </c>
      <c r="D13" s="9" t="inlineStr">
        <is>
          <t>тріал% × оплата%</t>
        </is>
      </c>
    </row>
    <row r="14">
      <c r="A14" s="6" t="inlineStr">
        <is>
          <t>Дохід на інстал (рік)</t>
        </is>
      </c>
      <c r="B14" s="15">
        <f>$B$13*$B$8</f>
        <v/>
      </c>
      <c r="D14" s="9" t="inlineStr">
        <is>
          <t>платників/інстал × ARPPU</t>
        </is>
      </c>
    </row>
    <row r="15">
      <c r="A15" s="6" t="inlineStr">
        <is>
          <t>Беззбитковий CPI (ROAS 100%)</t>
        </is>
      </c>
      <c r="B15" s="15">
        <f>$B$14</f>
        <v/>
      </c>
      <c r="D15" s="9" t="inlineStr">
        <is>
          <t>дорівнює доходу на інстал</t>
        </is>
      </c>
    </row>
    <row r="16">
      <c r="A16" s="6" t="inlineStr">
        <is>
          <t>Цільовий CPI для мін. ROAS</t>
        </is>
      </c>
      <c r="B16" s="15">
        <f>$B$14/$B$10</f>
        <v/>
      </c>
      <c r="D16" s="9" t="inlineStr">
        <is>
          <t>дохід/інстал ÷ мін. ROAS</t>
        </is>
      </c>
    </row>
    <row r="18">
      <c r="A18" s="16" t="inlineStr">
        <is>
          <t>ГОЛОВНЕ: уся задача = опустити блендовий CPI до ≤ цільового і втримати, подвоюючи витрати.</t>
        </is>
      </c>
    </row>
  </sheetData>
  <mergeCells count="4">
    <mergeCell ref="A12:D12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3" customWidth="1" min="11" max="11"/>
    <col width="11" customWidth="1" min="12" max="12"/>
    <col width="11" customWidth="1" min="13" max="13"/>
    <col width="10" customWidth="1" min="14" max="14"/>
    <col width="9" customWidth="1" min="15" max="15"/>
  </cols>
  <sheetData>
    <row r="1">
      <c r="A1" s="1" t="inlineStr">
        <is>
          <t>Витрати → Тапи → Інстали → Тріали → Платники → Дохід → ROAS</t>
        </is>
      </c>
    </row>
    <row r="2">
      <c r="A2" s="2" t="inlineStr">
        <is>
          <t>Помаранчеве — редаговані драйвери. Решта — живі формули. Логіка: спершу банкуємо ефективність (M1), потім масштабуємо в запас.</t>
        </is>
      </c>
    </row>
    <row r="4">
      <c r="A4" s="17" t="inlineStr">
        <is>
          <t>Фаза / місяць</t>
        </is>
      </c>
      <c r="B4" s="17" t="inlineStr">
        <is>
          <t>Витрати ($)</t>
        </is>
      </c>
      <c r="C4" s="17" t="inlineStr">
        <is>
          <t>Блендовий CPT ($)</t>
        </is>
      </c>
      <c r="D4" s="17" t="inlineStr">
        <is>
          <t>TTR</t>
        </is>
      </c>
      <c r="E4" s="17" t="inlineStr">
        <is>
          <t>CR тап→інстал</t>
        </is>
      </c>
      <c r="F4" s="17" t="inlineStr">
        <is>
          <t>CPI ($)</t>
        </is>
      </c>
      <c r="G4" s="17" t="inlineStr">
        <is>
          <t>Тапи</t>
        </is>
      </c>
      <c r="H4" s="17" t="inlineStr">
        <is>
          <t>Інстали</t>
        </is>
      </c>
      <c r="I4" s="17" t="inlineStr">
        <is>
          <t>Тріали</t>
        </is>
      </c>
      <c r="J4" s="17" t="inlineStr">
        <is>
          <t>Платники</t>
        </is>
      </c>
      <c r="K4" s="17" t="inlineStr">
        <is>
          <t>Дохід ($)</t>
        </is>
      </c>
      <c r="L4" s="17" t="inlineStr">
        <is>
          <t>D30 кеш</t>
        </is>
      </c>
      <c r="M4" s="17" t="inlineStr">
        <is>
          <t>ROAS (гейт)</t>
        </is>
      </c>
      <c r="N4" s="17" t="inlineStr">
        <is>
          <t>D30 ROAS</t>
        </is>
      </c>
      <c r="O4" s="17" t="inlineStr">
        <is>
          <t>Гейт?</t>
        </is>
      </c>
    </row>
    <row r="5">
      <c r="A5" s="6" t="inlineStr">
        <is>
          <t>M0 — Базовий (зараз)</t>
        </is>
      </c>
      <c r="B5" s="18" t="n">
        <v>35000</v>
      </c>
      <c r="C5" s="19" t="n">
        <v>0.2564</v>
      </c>
      <c r="D5" s="7" t="n">
        <v>0.07000000000000001</v>
      </c>
      <c r="E5" s="7" t="n">
        <v>0.385</v>
      </c>
      <c r="F5" s="20">
        <f>C5/E5</f>
        <v/>
      </c>
      <c r="G5" s="21">
        <f>B5/C5</f>
        <v/>
      </c>
      <c r="H5" s="21">
        <f>G5*E5</f>
        <v/>
      </c>
      <c r="I5" s="21">
        <f>H5*Припущення!$B$6</f>
        <v/>
      </c>
      <c r="J5" s="21">
        <f>I5*Припущення!$B$7</f>
        <v/>
      </c>
      <c r="K5" s="22">
        <f>J5*Припущення!$B$8</f>
        <v/>
      </c>
      <c r="L5" s="22">
        <f>K5*Припущення!$B$9</f>
        <v/>
      </c>
      <c r="M5" s="23">
        <f>K5/B5</f>
        <v/>
      </c>
      <c r="N5" s="23">
        <f>L5/B5</f>
        <v/>
      </c>
      <c r="O5" s="24">
        <f>IF(M5&gt;=Припущення!$B$10,"ТАК","НІ")</f>
        <v/>
      </c>
    </row>
    <row r="6">
      <c r="A6" s="6" t="inlineStr">
        <is>
          <t>M1 — Банк ефективності</t>
        </is>
      </c>
      <c r="B6" s="18" t="n">
        <v>35000</v>
      </c>
      <c r="C6" s="19" t="n">
        <v>0.224</v>
      </c>
      <c r="D6" s="7" t="n">
        <v>0.075</v>
      </c>
      <c r="E6" s="7" t="n">
        <v>0.4</v>
      </c>
      <c r="F6" s="20">
        <f>C6/E6</f>
        <v/>
      </c>
      <c r="G6" s="21">
        <f>B6/C6</f>
        <v/>
      </c>
      <c r="H6" s="21">
        <f>G6*E6</f>
        <v/>
      </c>
      <c r="I6" s="21">
        <f>H6*Припущення!$B$6</f>
        <v/>
      </c>
      <c r="J6" s="21">
        <f>I6*Припущення!$B$7</f>
        <v/>
      </c>
      <c r="K6" s="22">
        <f>J6*Припущення!$B$8</f>
        <v/>
      </c>
      <c r="L6" s="22">
        <f>K6*Припущення!$B$9</f>
        <v/>
      </c>
      <c r="M6" s="23">
        <f>K6/B6</f>
        <v/>
      </c>
      <c r="N6" s="23">
        <f>L6/B6</f>
        <v/>
      </c>
      <c r="O6" s="24">
        <f>IF(M6&gt;=Припущення!$B$10,"ТАК","НІ")</f>
        <v/>
      </c>
    </row>
    <row r="7">
      <c r="A7" s="6" t="inlineStr">
        <is>
          <t>M2 — Гейт пройдено</t>
        </is>
      </c>
      <c r="B7" s="18" t="n">
        <v>40000</v>
      </c>
      <c r="C7" s="19" t="n">
        <v>0.223</v>
      </c>
      <c r="D7" s="7" t="n">
        <v>0.078</v>
      </c>
      <c r="E7" s="7" t="n">
        <v>0.42</v>
      </c>
      <c r="F7" s="20">
        <f>C7/E7</f>
        <v/>
      </c>
      <c r="G7" s="21">
        <f>B7/C7</f>
        <v/>
      </c>
      <c r="H7" s="21">
        <f>G7*E7</f>
        <v/>
      </c>
      <c r="I7" s="21">
        <f>H7*Припущення!$B$6</f>
        <v/>
      </c>
      <c r="J7" s="21">
        <f>I7*Припущення!$B$7</f>
        <v/>
      </c>
      <c r="K7" s="22">
        <f>J7*Припущення!$B$8</f>
        <v/>
      </c>
      <c r="L7" s="22">
        <f>K7*Припущення!$B$9</f>
        <v/>
      </c>
      <c r="M7" s="23">
        <f>K7/B7</f>
        <v/>
      </c>
      <c r="N7" s="23">
        <f>L7/B7</f>
        <v/>
      </c>
      <c r="O7" s="24">
        <f>IF(M7&gt;=Припущення!$B$10,"ТАК","НІ")</f>
        <v/>
      </c>
    </row>
    <row r="8">
      <c r="A8" s="6" t="inlineStr">
        <is>
          <t>M3 — Скейл понад гейт</t>
        </is>
      </c>
      <c r="B8" s="18" t="n">
        <v>55000</v>
      </c>
      <c r="C8" s="19" t="n">
        <v>0.2323</v>
      </c>
      <c r="D8" s="7" t="n">
        <v>0.08</v>
      </c>
      <c r="E8" s="7" t="n">
        <v>0.44</v>
      </c>
      <c r="F8" s="20">
        <f>C8/E8</f>
        <v/>
      </c>
      <c r="G8" s="21">
        <f>B8/C8</f>
        <v/>
      </c>
      <c r="H8" s="21">
        <f>G8*E8</f>
        <v/>
      </c>
      <c r="I8" s="21">
        <f>H8*Припущення!$B$6</f>
        <v/>
      </c>
      <c r="J8" s="21">
        <f>I8*Припущення!$B$7</f>
        <v/>
      </c>
      <c r="K8" s="22">
        <f>J8*Припущення!$B$8</f>
        <v/>
      </c>
      <c r="L8" s="22">
        <f>K8*Припущення!$B$9</f>
        <v/>
      </c>
      <c r="M8" s="23">
        <f>K8/B8</f>
        <v/>
      </c>
      <c r="N8" s="23">
        <f>L8/B8</f>
        <v/>
      </c>
      <c r="O8" s="24">
        <f>IF(M8&gt;=Припущення!$B$10,"ТАК","НІ")</f>
        <v/>
      </c>
    </row>
    <row r="9">
      <c r="A9" s="6" t="inlineStr">
        <is>
          <t>Q2 — Ціль</t>
        </is>
      </c>
      <c r="B9" s="18" t="n">
        <v>70000</v>
      </c>
      <c r="C9" s="19" t="n">
        <v>0.2363</v>
      </c>
      <c r="D9" s="7" t="n">
        <v>0.082</v>
      </c>
      <c r="E9" s="7" t="n">
        <v>0.45</v>
      </c>
      <c r="F9" s="20">
        <f>C9/E9</f>
        <v/>
      </c>
      <c r="G9" s="21">
        <f>B9/C9</f>
        <v/>
      </c>
      <c r="H9" s="21">
        <f>G9*E9</f>
        <v/>
      </c>
      <c r="I9" s="21">
        <f>H9*Припущення!$B$6</f>
        <v/>
      </c>
      <c r="J9" s="21">
        <f>I9*Припущення!$B$7</f>
        <v/>
      </c>
      <c r="K9" s="22">
        <f>J9*Припущення!$B$8</f>
        <v/>
      </c>
      <c r="L9" s="22">
        <f>K9*Припущення!$B$9</f>
        <v/>
      </c>
      <c r="M9" s="23">
        <f>K9/B9</f>
        <v/>
      </c>
      <c r="N9" s="23">
        <f>L9/B9</f>
        <v/>
      </c>
      <c r="O9" s="24">
        <f>IF(M9&gt;=Припущення!$B$10,"ТАК","НІ")</f>
        <v/>
      </c>
    </row>
    <row r="11">
      <c r="A11" s="25" t="inlineStr">
        <is>
          <t>Нотатки:</t>
        </is>
      </c>
    </row>
    <row r="12">
      <c r="A12" s="2" t="inlineStr">
        <is>
          <t>• ROAS (гейт) рахується на базі річного ARPPU — той самий базис, що й якір «~100% на 1-му місяці». Гейт = 125%.</t>
        </is>
      </c>
    </row>
    <row r="13">
      <c r="A13" s="2" t="inlineStr">
        <is>
          <t>• M1 тримає витрати на $35K, але ріже переплату по бренду + сміттєві гео → CPI 0.666→0.560 → гейт пройдено ДО масштабування.</t>
        </is>
      </c>
    </row>
    <row r="14">
      <c r="A14" s="2" t="inlineStr">
        <is>
          <t>• Базовий план дає 125% на самій CPT-ефективності (воронка фіксована). Приріст CR/Тріал→Оплата (CPP+PPO+пейвол) — це апсайд, не закладено.</t>
        </is>
      </c>
    </row>
    <row r="15">
      <c r="A15" s="2" t="inlineStr">
        <is>
          <t>• «D30 ROAS» — довідковий: реальний кеш на D30 = ROAS × коеф. визнання (Припущення). Заміни 0.45 на реальну криву RevenueCat.</t>
        </is>
      </c>
    </row>
  </sheetData>
  <mergeCells count="5">
    <mergeCell ref="A15:O15"/>
    <mergeCell ref="A12:O12"/>
    <mergeCell ref="A2:O2"/>
    <mergeCell ref="A13:O13"/>
    <mergeCell ref="A14:O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Чутливість — який показник найбільше рухає ROAS?</t>
        </is>
      </c>
    </row>
    <row r="2">
      <c r="A2" s="2" t="inlineStr">
        <is>
          <t>ROAS = (CR_тап→інстал × Тріал% × Оплата% × ARPPU) ÷ CPT. Ланцюг мультиплікативний → у кожного показника РІВНА % еластичність.</t>
        </is>
      </c>
    </row>
    <row r="4">
      <c r="A4" s="26" t="inlineStr">
        <is>
          <t>Важіль</t>
        </is>
      </c>
      <c r="B4" s="26" t="inlineStr">
        <is>
          <t>База</t>
        </is>
      </c>
      <c r="C4" s="26" t="inlineStr">
        <is>
          <t>+10% покращення</t>
        </is>
      </c>
      <c r="D4" s="26" t="inlineStr">
        <is>
          <t>Новий ROAS</t>
        </is>
      </c>
      <c r="E4" s="26" t="inlineStr">
        <is>
          <t>Контроль / запас</t>
        </is>
      </c>
    </row>
    <row r="5">
      <c r="A5" s="27" t="inlineStr">
        <is>
          <t>CR тап→інстал</t>
        </is>
      </c>
      <c r="B5" s="28" t="n">
        <v>0.42</v>
      </c>
      <c r="C5" s="28">
        <f>B5*1.1</f>
        <v/>
      </c>
      <c r="D5" s="29" t="inlineStr">
        <is>
          <t>+10% ROAS</t>
        </is>
      </c>
      <c r="E5" s="30" t="inlineStr">
        <is>
          <t>UA-керований через CPP / PPO — великий запас</t>
        </is>
      </c>
    </row>
    <row r="6">
      <c r="A6" s="27" t="inlineStr">
        <is>
          <t>Тріал → Оплата</t>
        </is>
      </c>
      <c r="B6" s="28" t="n">
        <v>0.2</v>
      </c>
      <c r="C6" s="28">
        <f>B6*1.1</f>
        <v/>
      </c>
      <c r="D6" s="29" t="inlineStr">
        <is>
          <t>+10% ROAS</t>
        </is>
      </c>
      <c r="E6" s="30" t="inlineStr">
        <is>
          <t>Продукт/пейвол — найбільший запас, треба продукт</t>
        </is>
      </c>
    </row>
    <row r="7">
      <c r="A7" s="27" t="inlineStr">
        <is>
          <t>Інстал → Тріал</t>
        </is>
      </c>
      <c r="B7" s="28" t="n">
        <v>0.15</v>
      </c>
      <c r="C7" s="28">
        <f>B7*1.1</f>
        <v/>
      </c>
      <c r="D7" s="29" t="inlineStr">
        <is>
          <t>+10% ROAS</t>
        </is>
      </c>
      <c r="E7" s="30" t="inlineStr">
        <is>
          <t>Онбординг — спільно з продуктом</t>
        </is>
      </c>
    </row>
    <row r="8">
      <c r="A8" s="27" t="inlineStr">
        <is>
          <t>CPT (менше = краще)</t>
        </is>
      </c>
      <c r="B8" s="31" t="n">
        <v>0.238</v>
      </c>
      <c r="C8" s="31">
        <f>B8*0.9</f>
        <v/>
      </c>
      <c r="D8" s="29" t="inlineStr">
        <is>
          <t>+10% ROAS</t>
        </is>
      </c>
      <c r="E8" s="30" t="inlineStr">
        <is>
          <t>UA-керований через структуру/біди — найшвидший важіль</t>
        </is>
      </c>
    </row>
    <row r="10">
      <c r="A10" s="25" t="inlineStr">
        <is>
          <t>Висновок: еластичність рівна, тож пріоритет за запасом × контрольованістю →</t>
        </is>
      </c>
    </row>
    <row r="11">
      <c r="A11" s="32" t="inlineStr">
        <is>
          <t>1) CPT-ефективність (задокументоване марнотратство — найшвидше), 2) Тріал→Оплата (лише 20%, найбільший запас), 3) tap→install CR через CPP/PPO.</t>
        </is>
      </c>
    </row>
  </sheetData>
  <mergeCells count="3">
    <mergeCell ref="A2:E2"/>
    <mergeCell ref="A11:E1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Поточний vs цільовий розподіл витрат ($35K)</t>
        </is>
      </c>
    </row>
    <row r="2">
      <c r="A2" s="2" t="inlineStr">
        <is>
          <t>Перекидаю з бренд-переплати + сміттєвих мульти-гео → в ефективний US generic / competitor Search Results.</t>
        </is>
      </c>
    </row>
    <row r="4">
      <c r="A4" s="33" t="inlineStr">
        <is>
          <t>Бакет</t>
        </is>
      </c>
      <c r="B4" s="33" t="inlineStr">
        <is>
          <t>Зараз %</t>
        </is>
      </c>
      <c r="C4" s="33" t="inlineStr">
        <is>
          <t>Зараз $</t>
        </is>
      </c>
      <c r="D4" s="33" t="inlineStr">
        <is>
          <t>Ціль %</t>
        </is>
      </c>
      <c r="E4" s="33" t="inlineStr">
        <is>
          <t>Обґрунтування</t>
        </is>
      </c>
    </row>
    <row r="5">
      <c r="A5" s="27" t="inlineStr">
        <is>
          <t>Бренд</t>
        </is>
      </c>
      <c r="B5" s="34" t="n">
        <v>0.58</v>
      </c>
      <c r="C5" s="22">
        <f>B5*35000</f>
        <v/>
      </c>
      <c r="D5" s="23" t="n">
        <v>0.25</v>
      </c>
      <c r="E5" s="30" t="inlineStr">
        <is>
          <t>Кап біда до ~факту; бренд частково канібалізує органіку. Звільняю бюджет.</t>
        </is>
      </c>
    </row>
    <row r="6">
      <c r="A6" s="27" t="inlineStr">
        <is>
          <t>Generic Core (US, exact)</t>
        </is>
      </c>
      <c r="B6" s="34" t="n">
        <v>0.2</v>
      </c>
      <c r="C6" s="22">
        <f>B6*35000</f>
        <v/>
      </c>
      <c r="D6" s="23" t="n">
        <v>0.34</v>
      </c>
      <c r="E6" s="30" t="inlineStr">
        <is>
          <t>Масштабую перевірені head/mid-терміни під CPA-таргет.</t>
        </is>
      </c>
    </row>
    <row r="7">
      <c r="A7" s="27" t="inlineStr">
        <is>
          <t>Generic Discovery (SM+Broad)</t>
        </is>
      </c>
      <c r="B7" s="34" t="n">
        <v>0.11</v>
      </c>
      <c r="C7" s="22">
        <f>B7*35000</f>
        <v/>
      </c>
      <c r="D7" s="23" t="n">
        <v>0.15</v>
      </c>
      <c r="E7" s="30" t="inlineStr">
        <is>
          <t>Ізольовано, негативи з Core; харвест переможців.</t>
        </is>
      </c>
    </row>
    <row r="8">
      <c r="A8" s="27" t="inlineStr">
        <is>
          <t>Competitor (Search Results)</t>
        </is>
      </c>
      <c r="B8" s="34" t="n">
        <v>0.01</v>
      </c>
      <c r="C8" s="22">
        <f>B8*35000</f>
        <v/>
      </c>
      <c r="D8" s="23" t="n">
        <v>0.12</v>
      </c>
      <c r="E8" s="30" t="inlineStr">
        <is>
          <t>Новий conquesting у Search Results (був лише PP, CPA €17).</t>
        </is>
      </c>
    </row>
    <row r="9">
      <c r="A9" s="27" t="inlineStr">
        <is>
          <t>Feature / мульти-гео T1</t>
        </is>
      </c>
      <c r="B9" s="34" t="n">
        <v>0.1</v>
      </c>
      <c r="C9" s="22">
        <f>B9*35000</f>
        <v/>
      </c>
      <c r="D9" s="23" t="n">
        <v>0.14</v>
      </c>
      <c r="E9" s="30" t="inlineStr">
        <is>
          <t>Ріжу сміттєві гео; ізолюю US; feature у generic.</t>
        </is>
      </c>
    </row>
    <row r="10">
      <c r="A10" s="25" t="inlineStr">
        <is>
          <t>РАЗОМ</t>
        </is>
      </c>
      <c r="B10" s="35">
        <f>SUM(B5:B9)</f>
        <v/>
      </c>
      <c r="C10" s="36">
        <f>SUM(C5:C9)</f>
        <v/>
      </c>
      <c r="D10" s="35">
        <f>SUM(D5:D9)</f>
        <v/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2026-07-21T12:53:29Z</dcterms:created>
  <dcterms:modified xmlns:dcterms="http://purl.org/dc/terms/" xmlns:xsi="http://www.w3.org/2001/XMLSchema-instance" xsi:type="dcterms:W3CDTF">2026-07-21T12:53:29Z</dcterms:modified>
</cp:coreProperties>
</file>