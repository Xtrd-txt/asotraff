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amp Model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Spend Realloc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0.00"/>
    <numFmt numFmtId="166" formatCode="&quot;$&quot;0.000"/>
    <numFmt numFmtId="167" formatCode="&quot;$&quot;#,##0"/>
  </numFmts>
  <fonts count="10">
    <font>
      <name val="Calibri"/>
      <family val="2"/>
      <color theme="1"/>
      <sz val="11"/>
      <scheme val="minor"/>
    </font>
    <font>
      <name val="Georgia"/>
      <b val="1"/>
      <color rgb="0023303B"/>
      <sz val="16"/>
    </font>
    <font>
      <name val="Calibri"/>
      <i val="1"/>
      <color rgb="006E6A63"/>
      <sz val="9"/>
    </font>
    <font>
      <name val="Georgia"/>
      <b val="1"/>
      <color rgb="00FFFFFF"/>
      <sz val="12"/>
    </font>
    <font>
      <name val="Calibri"/>
      <b val="1"/>
      <color rgb="0023303B"/>
      <sz val="10"/>
    </font>
    <font>
      <name val="Calibri"/>
      <color rgb="0023303B"/>
      <sz val="10"/>
    </font>
    <font>
      <name val="Calibri"/>
      <b val="1"/>
      <color rgb="009A3412"/>
      <sz val="10"/>
    </font>
    <font>
      <name val="Calibri"/>
      <b val="1"/>
      <color rgb="00C8542F"/>
      <sz val="10"/>
    </font>
    <font>
      <name val="Calibri"/>
      <b val="1"/>
      <color rgb="00FFFFFF"/>
      <sz val="9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C8542F"/>
      </patternFill>
    </fill>
    <fill>
      <patternFill patternType="solid">
        <fgColor rgb="00F3ECE0"/>
      </patternFill>
    </fill>
    <fill>
      <patternFill patternType="solid">
        <fgColor rgb="00FFF7ED"/>
      </patternFill>
    </fill>
    <fill>
      <patternFill patternType="solid">
        <fgColor rgb="002E7D74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8CFC0"/>
      </left>
      <right style="thin">
        <color rgb="00D8CFC0"/>
      </right>
      <top style="thin">
        <color rgb="00D8CFC0"/>
      </top>
      <bottom style="thin">
        <color rgb="00D8CFC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1" pivotButton="0" quotePrefix="0" xfId="0"/>
    <xf numFmtId="0" fontId="5" fillId="0" borderId="0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left" vertical="center"/>
    </xf>
    <xf numFmtId="0" fontId="0" fillId="5" borderId="0" pivotButton="0" quotePrefix="0" xfId="0"/>
    <xf numFmtId="10" fontId="7" fillId="6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7" fontId="6" fillId="4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9" fontId="7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9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9" fillId="2" borderId="1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54" customWidth="1" min="4" max="4"/>
  </cols>
  <sheetData>
    <row r="1">
      <c r="A1" s="1" t="inlineStr">
        <is>
          <t>TouchRetouch - ASA Funnel &amp; ROAS Model</t>
        </is>
      </c>
    </row>
    <row r="2">
      <c r="A2" s="2" t="inlineStr">
        <is>
          <t>Legend: orange = input you can change · blue = calculated. Revenue is modelled on first-year ARPPU (same basis as the ~100% anchor).</t>
        </is>
      </c>
    </row>
    <row r="3"/>
    <row r="4">
      <c r="A4" s="3" t="inlineStr">
        <is>
          <t xml:space="preserve">  CORE FUNNEL ASSUMPTIONS</t>
        </is>
      </c>
      <c r="B4" s="4" t="n"/>
      <c r="C4" s="4" t="n"/>
      <c r="D4" s="4" t="n"/>
    </row>
    <row r="5">
      <c r="A5" s="5" t="inlineStr">
        <is>
          <t>Metric</t>
        </is>
      </c>
      <c r="B5" s="5" t="inlineStr">
        <is>
          <t>Value</t>
        </is>
      </c>
      <c r="C5" s="5" t="inlineStr">
        <is>
          <t>Unit</t>
        </is>
      </c>
      <c r="D5" s="5" t="inlineStr">
        <is>
          <t>Note / source</t>
        </is>
      </c>
    </row>
    <row r="6">
      <c r="A6" s="6" t="inlineStr">
        <is>
          <t>Install → Trial</t>
        </is>
      </c>
      <c r="B6" s="7" t="n">
        <v>0.15</v>
      </c>
      <c r="C6" s="8" t="inlineStr">
        <is>
          <t>%</t>
        </is>
      </c>
      <c r="D6" s="9" t="inlineStr">
        <is>
          <t>Given (paid funnel)</t>
        </is>
      </c>
    </row>
    <row r="7">
      <c r="A7" s="6" t="inlineStr">
        <is>
          <t>Trial → Paid</t>
        </is>
      </c>
      <c r="B7" s="7" t="n">
        <v>0.2</v>
      </c>
      <c r="C7" s="8" t="inlineStr">
        <is>
          <t>%</t>
        </is>
      </c>
      <c r="D7" s="9" t="inlineStr">
        <is>
          <t>Given (paid funnel)</t>
        </is>
      </c>
    </row>
    <row r="8">
      <c r="A8" s="6" t="inlineStr">
        <is>
          <t>ARPPU (Y1, net of Apple fee)</t>
        </is>
      </c>
      <c r="B8" s="10" t="n">
        <v>22.2</v>
      </c>
      <c r="C8" s="8" t="inlineStr">
        <is>
          <t>$</t>
        </is>
      </c>
      <c r="D8" s="9" t="inlineStr">
        <is>
          <t>Given</t>
        </is>
      </c>
    </row>
    <row r="9">
      <c r="A9" s="6" t="inlineStr">
        <is>
          <t>D30 revenue recognition (share of Y1)</t>
        </is>
      </c>
      <c r="B9" s="7" t="n">
        <v>0.45</v>
      </c>
      <c r="C9" s="8" t="inlineStr">
        <is>
          <t>%</t>
        </is>
      </c>
      <c r="D9" s="9" t="inlineStr">
        <is>
          <t>Info only (not in gate) - pull real D30/Y1 curve from RevenueCat</t>
        </is>
      </c>
    </row>
    <row r="10">
      <c r="A10" s="6" t="inlineStr">
        <is>
          <t>Min ROAS gate for scaling (D30)</t>
        </is>
      </c>
      <c r="B10" s="11" t="n">
        <v>1.25</v>
      </c>
      <c r="C10" s="8" t="inlineStr">
        <is>
          <t>x</t>
        </is>
      </c>
      <c r="D10" s="9" t="inlineStr">
        <is>
          <t>Given requirement</t>
        </is>
      </c>
    </row>
    <row r="11"/>
    <row r="12">
      <c r="A12" s="12" t="inlineStr">
        <is>
          <t xml:space="preserve">  DERIVED UNIT ECONOMICS</t>
        </is>
      </c>
      <c r="B12" s="13" t="n"/>
      <c r="C12" s="13" t="n"/>
      <c r="D12" s="13" t="n"/>
    </row>
    <row r="13">
      <c r="A13" s="6" t="inlineStr">
        <is>
          <t>Payers per install</t>
        </is>
      </c>
      <c r="B13" s="14">
        <f>$B$6*$B$7</f>
        <v/>
      </c>
      <c r="D13" s="9" t="inlineStr">
        <is>
          <t>trial% × paid%</t>
        </is>
      </c>
    </row>
    <row r="14">
      <c r="A14" s="6" t="inlineStr">
        <is>
          <t>Revenue per install (Y1)</t>
        </is>
      </c>
      <c r="B14" s="15">
        <f>$B$13*$B$8</f>
        <v/>
      </c>
      <c r="D14" s="9" t="inlineStr">
        <is>
          <t>payers/install × ARPPU</t>
        </is>
      </c>
    </row>
    <row r="15">
      <c r="A15" s="6" t="inlineStr">
        <is>
          <t>Break-even CPI (ROAS 100%)</t>
        </is>
      </c>
      <c r="B15" s="15">
        <f>$B$14</f>
        <v/>
      </c>
      <c r="D15" s="9" t="inlineStr">
        <is>
          <t>equals revenue per install</t>
        </is>
      </c>
    </row>
    <row r="16">
      <c r="A16" s="6" t="inlineStr">
        <is>
          <t>Target CPI for min ROAS</t>
        </is>
      </c>
      <c r="B16" s="15">
        <f>$B$14/$B$10</f>
        <v/>
      </c>
      <c r="D16" s="9" t="inlineStr">
        <is>
          <t>rev per install ÷ min ROAS</t>
        </is>
      </c>
    </row>
    <row r="17"/>
    <row r="18">
      <c r="A18" s="16" t="inlineStr">
        <is>
          <t>KEY INSIGHT: the whole task = drop blended CPI to ≤ Target CPI and hold it while doubling spend.</t>
        </is>
      </c>
    </row>
  </sheetData>
  <mergeCells count="4">
    <mergeCell ref="A12:D12"/>
    <mergeCell ref="A4:D4"/>
    <mergeCell ref="A2:D2"/>
    <mergeCell ref="A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5" customWidth="1" min="3" max="3"/>
    <col width="8" customWidth="1" min="4" max="4"/>
    <col width="14" customWidth="1" min="5" max="5"/>
    <col width="11" customWidth="1" min="6" max="6"/>
    <col width="11" customWidth="1" min="7" max="7"/>
    <col width="11" customWidth="1" min="8" max="8"/>
    <col width="10" customWidth="1" min="9" max="9"/>
    <col width="10" customWidth="1" min="10" max="10"/>
    <col width="13" customWidth="1" min="11" max="11"/>
    <col width="11" customWidth="1" min="12" max="12"/>
    <col width="11" customWidth="1" min="13" max="13"/>
    <col width="10" customWidth="1" min="14" max="14"/>
    <col width="9" customWidth="1" min="15" max="15"/>
  </cols>
  <sheetData>
    <row r="1">
      <c r="A1" s="1" t="inlineStr">
        <is>
          <t>Spend → Taps → Installs → Trials → Payers → Revenue → ROAS</t>
        </is>
      </c>
    </row>
    <row r="2">
      <c r="A2" s="2" t="inlineStr">
        <is>
          <t>Orange cells drive the model. Everything else is a live formula. Plan: bank efficiency first (M1), then scale into the headroom.</t>
        </is>
      </c>
    </row>
    <row r="3"/>
    <row r="4">
      <c r="A4" s="17" t="inlineStr">
        <is>
          <t>Phase / Month</t>
        </is>
      </c>
      <c r="B4" s="17" t="inlineStr">
        <is>
          <t>Spend ($)</t>
        </is>
      </c>
      <c r="C4" s="17" t="inlineStr">
        <is>
          <t>Blended CPT ($)</t>
        </is>
      </c>
      <c r="D4" s="17" t="inlineStr">
        <is>
          <t>TTR</t>
        </is>
      </c>
      <c r="E4" s="17" t="inlineStr">
        <is>
          <t>CR tap→install</t>
        </is>
      </c>
      <c r="F4" s="17" t="inlineStr">
        <is>
          <t>CPI ($)</t>
        </is>
      </c>
      <c r="G4" s="17" t="inlineStr">
        <is>
          <t>Taps</t>
        </is>
      </c>
      <c r="H4" s="17" t="inlineStr">
        <is>
          <t>Installs</t>
        </is>
      </c>
      <c r="I4" s="17" t="inlineStr">
        <is>
          <t>Trials</t>
        </is>
      </c>
      <c r="J4" s="17" t="inlineStr">
        <is>
          <t>Payers</t>
        </is>
      </c>
      <c r="K4" s="17" t="inlineStr">
        <is>
          <t>Revenue ($)</t>
        </is>
      </c>
      <c r="L4" s="17" t="inlineStr">
        <is>
          <t>D30 cash</t>
        </is>
      </c>
      <c r="M4" s="17" t="inlineStr">
        <is>
          <t>ROAS (gate)</t>
        </is>
      </c>
      <c r="N4" s="17" t="inlineStr">
        <is>
          <t>D30 ROAS</t>
        </is>
      </c>
      <c r="O4" s="17" t="inlineStr">
        <is>
          <t>Gate?</t>
        </is>
      </c>
    </row>
    <row r="5">
      <c r="A5" s="6" t="inlineStr">
        <is>
          <t>M0 - Baseline (current)</t>
        </is>
      </c>
      <c r="B5" s="18" t="n">
        <v>35000</v>
      </c>
      <c r="C5" s="19" t="n">
        <v>0.2564</v>
      </c>
      <c r="D5" s="7" t="n">
        <v>0.07000000000000001</v>
      </c>
      <c r="E5" s="7" t="n">
        <v>0.385</v>
      </c>
      <c r="F5" s="20">
        <f>C5/E5</f>
        <v/>
      </c>
      <c r="G5" s="21">
        <f>B5/C5</f>
        <v/>
      </c>
      <c r="H5" s="21">
        <f>G5*E5</f>
        <v/>
      </c>
      <c r="I5" s="21">
        <f>H5*Assumptions!$B$6</f>
        <v/>
      </c>
      <c r="J5" s="21">
        <f>I5*Assumptions!$B$7</f>
        <v/>
      </c>
      <c r="K5" s="22">
        <f>J5*Assumptions!$B$8</f>
        <v/>
      </c>
      <c r="L5" s="22">
        <f>K5*Assumptions!$B$9</f>
        <v/>
      </c>
      <c r="M5" s="23">
        <f>K5/B5</f>
        <v/>
      </c>
      <c r="N5" s="23">
        <f>L5/B5</f>
        <v/>
      </c>
      <c r="O5" s="24">
        <f>IF(M5&gt;=Assumptions!$B$10,"YES","NO")</f>
        <v/>
      </c>
    </row>
    <row r="6">
      <c r="A6" s="6" t="inlineStr">
        <is>
          <t>M1 - Bank efficiency</t>
        </is>
      </c>
      <c r="B6" s="18" t="n">
        <v>35000</v>
      </c>
      <c r="C6" s="19" t="n">
        <v>0.224</v>
      </c>
      <c r="D6" s="7" t="n">
        <v>0.075</v>
      </c>
      <c r="E6" s="7" t="n">
        <v>0.4</v>
      </c>
      <c r="F6" s="20">
        <f>C6/E6</f>
        <v/>
      </c>
      <c r="G6" s="21">
        <f>B6/C6</f>
        <v/>
      </c>
      <c r="H6" s="21">
        <f>G6*E6</f>
        <v/>
      </c>
      <c r="I6" s="21">
        <f>H6*Assumptions!$B$6</f>
        <v/>
      </c>
      <c r="J6" s="21">
        <f>I6*Assumptions!$B$7</f>
        <v/>
      </c>
      <c r="K6" s="22">
        <f>J6*Assumptions!$B$8</f>
        <v/>
      </c>
      <c r="L6" s="22">
        <f>K6*Assumptions!$B$9</f>
        <v/>
      </c>
      <c r="M6" s="23">
        <f>K6/B6</f>
        <v/>
      </c>
      <c r="N6" s="23">
        <f>L6/B6</f>
        <v/>
      </c>
      <c r="O6" s="24">
        <f>IF(M6&gt;=Assumptions!$B$10,"YES","NO")</f>
        <v/>
      </c>
    </row>
    <row r="7">
      <c r="A7" s="6" t="inlineStr">
        <is>
          <t>M2 - Gate cleared</t>
        </is>
      </c>
      <c r="B7" s="18" t="n">
        <v>40000</v>
      </c>
      <c r="C7" s="19" t="n">
        <v>0.223</v>
      </c>
      <c r="D7" s="7" t="n">
        <v>0.078</v>
      </c>
      <c r="E7" s="7" t="n">
        <v>0.42</v>
      </c>
      <c r="F7" s="20">
        <f>C7/E7</f>
        <v/>
      </c>
      <c r="G7" s="21">
        <f>B7/C7</f>
        <v/>
      </c>
      <c r="H7" s="21">
        <f>G7*E7</f>
        <v/>
      </c>
      <c r="I7" s="21">
        <f>H7*Assumptions!$B$6</f>
        <v/>
      </c>
      <c r="J7" s="21">
        <f>I7*Assumptions!$B$7</f>
        <v/>
      </c>
      <c r="K7" s="22">
        <f>J7*Assumptions!$B$8</f>
        <v/>
      </c>
      <c r="L7" s="22">
        <f>K7*Assumptions!$B$9</f>
        <v/>
      </c>
      <c r="M7" s="23">
        <f>K7/B7</f>
        <v/>
      </c>
      <c r="N7" s="23">
        <f>L7/B7</f>
        <v/>
      </c>
      <c r="O7" s="24">
        <f>IF(M7&gt;=Assumptions!$B$10,"YES","NO")</f>
        <v/>
      </c>
    </row>
    <row r="8">
      <c r="A8" s="6" t="inlineStr">
        <is>
          <t>M3 - Scale above gate</t>
        </is>
      </c>
      <c r="B8" s="18" t="n">
        <v>55000</v>
      </c>
      <c r="C8" s="19" t="n">
        <v>0.2323</v>
      </c>
      <c r="D8" s="7" t="n">
        <v>0.08</v>
      </c>
      <c r="E8" s="7" t="n">
        <v>0.44</v>
      </c>
      <c r="F8" s="20">
        <f>C8/E8</f>
        <v/>
      </c>
      <c r="G8" s="21">
        <f>B8/C8</f>
        <v/>
      </c>
      <c r="H8" s="21">
        <f>G8*E8</f>
        <v/>
      </c>
      <c r="I8" s="21">
        <f>H8*Assumptions!$B$6</f>
        <v/>
      </c>
      <c r="J8" s="21">
        <f>I8*Assumptions!$B$7</f>
        <v/>
      </c>
      <c r="K8" s="22">
        <f>J8*Assumptions!$B$8</f>
        <v/>
      </c>
      <c r="L8" s="22">
        <f>K8*Assumptions!$B$9</f>
        <v/>
      </c>
      <c r="M8" s="23">
        <f>K8/B8</f>
        <v/>
      </c>
      <c r="N8" s="23">
        <f>L8/B8</f>
        <v/>
      </c>
      <c r="O8" s="24">
        <f>IF(M8&gt;=Assumptions!$B$10,"YES","NO")</f>
        <v/>
      </c>
    </row>
    <row r="9">
      <c r="A9" s="6" t="inlineStr">
        <is>
          <t>Q2 - Target</t>
        </is>
      </c>
      <c r="B9" s="18" t="n">
        <v>70000</v>
      </c>
      <c r="C9" s="19" t="n">
        <v>0.2363</v>
      </c>
      <c r="D9" s="7" t="n">
        <v>0.082</v>
      </c>
      <c r="E9" s="7" t="n">
        <v>0.45</v>
      </c>
      <c r="F9" s="20">
        <f>C9/E9</f>
        <v/>
      </c>
      <c r="G9" s="21">
        <f>B9/C9</f>
        <v/>
      </c>
      <c r="H9" s="21">
        <f>G9*E9</f>
        <v/>
      </c>
      <c r="I9" s="21">
        <f>H9*Assumptions!$B$6</f>
        <v/>
      </c>
      <c r="J9" s="21">
        <f>I9*Assumptions!$B$7</f>
        <v/>
      </c>
      <c r="K9" s="22">
        <f>J9*Assumptions!$B$8</f>
        <v/>
      </c>
      <c r="L9" s="22">
        <f>K9*Assumptions!$B$9</f>
        <v/>
      </c>
      <c r="M9" s="23">
        <f>K9/B9</f>
        <v/>
      </c>
      <c r="N9" s="23">
        <f>L9/B9</f>
        <v/>
      </c>
      <c r="O9" s="24">
        <f>IF(M9&gt;=Assumptions!$B$10,"YES","NO")</f>
        <v/>
      </c>
    </row>
    <row r="10"/>
    <row r="11">
      <c r="A11" s="25" t="inlineStr">
        <is>
          <t>Notes:</t>
        </is>
      </c>
    </row>
    <row r="12">
      <c r="A12" s="2" t="inlineStr">
        <is>
          <t>• ROAS (gate) uses first-year ARPPU - same basis as the task's ~100% anchor. Gate = 125%.</t>
        </is>
      </c>
    </row>
    <row r="13">
      <c r="A13" s="2" t="inlineStr">
        <is>
          <t>• M1 holds spend at $35K but caps brand bids + cuts junk geos → blended CPI 0.666→0.560 → gate cleared before scaling.</t>
        </is>
      </c>
    </row>
    <row r="14">
      <c r="A14" s="2" t="inlineStr">
        <is>
          <t>• Base plan hits 125% on CPT efficiency alone; funnel gains (tool-CPP CR, paywall trial→paid) are upside, not baked in.</t>
        </is>
      </c>
    </row>
    <row r="15">
      <c r="A15" s="2" t="inlineStr">
        <is>
          <t>• 'D30 cash ROAS' is informational: real cash by day 30 = ROAS × D30 recognition. Replace 0.45 with RevenueCat's real curve.</t>
        </is>
      </c>
    </row>
  </sheetData>
  <mergeCells count="5">
    <mergeCell ref="A15:O15"/>
    <mergeCell ref="A12:O12"/>
    <mergeCell ref="A2:O2"/>
    <mergeCell ref="A13:O13"/>
    <mergeCell ref="A14:O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40" customWidth="1" min="5" max="5"/>
  </cols>
  <sheetData>
    <row r="1">
      <c r="A1" s="1" t="inlineStr">
        <is>
          <t>Sensitivity - which metric moves ROAS most?</t>
        </is>
      </c>
    </row>
    <row r="2">
      <c r="A2" s="2" t="inlineStr">
        <is>
          <t>ROAS = (CR_tap→install × Trial% × Paid% × ARPPU) ÷ CPT. The chain is multiplicative → each metric has EQUAL % elasticity.</t>
        </is>
      </c>
    </row>
    <row r="3"/>
    <row r="4">
      <c r="A4" s="26" t="inlineStr">
        <is>
          <t>Lever</t>
        </is>
      </c>
      <c r="B4" s="26" t="inlineStr">
        <is>
          <t>Baseline</t>
        </is>
      </c>
      <c r="C4" s="26" t="inlineStr">
        <is>
          <t>+10% improve</t>
        </is>
      </c>
      <c r="D4" s="26" t="inlineStr">
        <is>
          <t>New ROAS</t>
        </is>
      </c>
      <c r="E4" s="26" t="inlineStr">
        <is>
          <t>Controllability / headroom</t>
        </is>
      </c>
    </row>
    <row r="5">
      <c r="A5" s="27" t="inlineStr">
        <is>
          <t>CR tap→install</t>
        </is>
      </c>
      <c r="B5" s="28" t="n">
        <v>0.42</v>
      </c>
      <c r="C5" s="28">
        <f>B5*1.1</f>
        <v/>
      </c>
      <c r="D5" s="29" t="inlineStr">
        <is>
          <t>+10% ROAS</t>
        </is>
      </c>
      <c r="E5" s="30" t="inlineStr">
        <is>
          <t>UA-owned via CPP/PPO - high headroom</t>
        </is>
      </c>
    </row>
    <row r="6">
      <c r="A6" s="27" t="inlineStr">
        <is>
          <t>Trial → Paid</t>
        </is>
      </c>
      <c r="B6" s="28" t="n">
        <v>0.2</v>
      </c>
      <c r="C6" s="28">
        <f>B6*1.1</f>
        <v/>
      </c>
      <c r="D6" s="29" t="inlineStr">
        <is>
          <t>+10% ROAS</t>
        </is>
      </c>
      <c r="E6" s="30" t="inlineStr">
        <is>
          <t>Product/paywall - most headroom, needs product</t>
        </is>
      </c>
    </row>
    <row r="7">
      <c r="A7" s="27" t="inlineStr">
        <is>
          <t>Install → Trial</t>
        </is>
      </c>
      <c r="B7" s="28" t="n">
        <v>0.15</v>
      </c>
      <c r="C7" s="28">
        <f>B7*1.1</f>
        <v/>
      </c>
      <c r="D7" s="29" t="inlineStr">
        <is>
          <t>+10% ROAS</t>
        </is>
      </c>
      <c r="E7" s="30" t="inlineStr">
        <is>
          <t>Onboarding - shared with product</t>
        </is>
      </c>
    </row>
    <row r="8">
      <c r="A8" s="27" t="inlineStr">
        <is>
          <t>CPT (lower = better)</t>
        </is>
      </c>
      <c r="B8" s="31" t="n">
        <v>0.238</v>
      </c>
      <c r="C8" s="31">
        <f>B8*0.9</f>
        <v/>
      </c>
      <c r="D8" s="29" t="inlineStr">
        <is>
          <t>+10% ROAS</t>
        </is>
      </c>
      <c r="E8" s="30" t="inlineStr">
        <is>
          <t>UA-owned via structure/bids - fastest lever</t>
        </is>
      </c>
    </row>
    <row r="9"/>
    <row r="10">
      <c r="A10" s="25" t="inlineStr">
        <is>
          <t>Conclusion: elasticity is equal → prioritise by headroom × controllability:</t>
        </is>
      </c>
    </row>
    <row r="11">
      <c r="A11" s="32" t="inlineStr">
        <is>
          <t>1) CPT efficiency (documented waste - fastest), 2) Trial→Paid (only 20%, most headroom), 3) tap→install CR via tool-CPPs/PPO.</t>
        </is>
      </c>
    </row>
  </sheetData>
  <mergeCells count="3">
    <mergeCell ref="A2:E2"/>
    <mergeCell ref="A11:E1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44" customWidth="1" min="5" max="5"/>
  </cols>
  <sheetData>
    <row r="1">
      <c r="A1" s="1" t="inlineStr">
        <is>
          <t>Current vs target spend mix ($35K)</t>
        </is>
      </c>
    </row>
    <row r="2">
      <c r="A2" s="2" t="inlineStr">
        <is>
          <t>Cap brand, kill competitor-on-Product-Pages, trim junk geos → redeploy into tool-intent CPP campaigns and the AI-positioning angle.</t>
        </is>
      </c>
    </row>
    <row r="3"/>
    <row r="4">
      <c r="A4" s="33" t="inlineStr">
        <is>
          <t>Bucket</t>
        </is>
      </c>
      <c r="B4" s="33" t="inlineStr">
        <is>
          <t>Now %</t>
        </is>
      </c>
      <c r="C4" s="33" t="inlineStr">
        <is>
          <t>Now $</t>
        </is>
      </c>
      <c r="D4" s="33" t="inlineStr">
        <is>
          <t>Target %</t>
        </is>
      </c>
      <c r="E4" s="33" t="inlineStr">
        <is>
          <t>Rationale</t>
        </is>
      </c>
    </row>
    <row r="5">
      <c r="A5" s="27" t="inlineStr">
        <is>
          <t>Brand (capped + defensive)</t>
        </is>
      </c>
      <c r="B5" s="34" t="n">
        <v>0.58</v>
      </c>
      <c r="C5" s="22">
        <f>B5*35000</f>
        <v/>
      </c>
      <c r="D5" s="23" t="n">
        <v>0.15</v>
      </c>
      <c r="E5" s="30" t="inlineStr">
        <is>
          <t>Bid capped ~€3-5; brand is mostly cannibalised organic. Free budget.</t>
        </is>
      </c>
    </row>
    <row r="6">
      <c r="A6" s="27" t="inlineStr">
        <is>
          <t>Generic Core (US, exact)</t>
        </is>
      </c>
      <c r="B6" s="34" t="n">
        <v>0.12</v>
      </c>
      <c r="C6" s="22">
        <f>B6*35000</f>
        <v/>
      </c>
      <c r="D6" s="23" t="n">
        <v>0.25</v>
      </c>
      <c r="E6" s="30" t="inlineStr">
        <is>
          <t>Proven head/mid terms (photo editor, object remover) under CPA target.</t>
        </is>
      </c>
    </row>
    <row r="7">
      <c r="A7" s="27" t="inlineStr">
        <is>
          <t>Tool-intent CPP campaigns</t>
        </is>
      </c>
      <c r="B7" s="34" t="n">
        <v>0.1</v>
      </c>
      <c r="C7" s="22">
        <f>B7*35000</f>
        <v/>
      </c>
      <c r="D7" s="23" t="n">
        <v>0.33</v>
      </c>
      <c r="E7" s="30" t="inlineStr">
        <is>
          <t>Per-tool CPP ('magic eraser','object remover'…), aggressive bid per geo. Core money bucket.</t>
        </is>
      </c>
    </row>
    <row r="8">
      <c r="A8" s="27" t="inlineStr">
        <is>
          <t>Search Match Discovery (isolated)</t>
        </is>
      </c>
      <c r="B8" s="34" t="n">
        <v>0.18</v>
      </c>
      <c r="C8" s="22">
        <f>B8*35000</f>
        <v/>
      </c>
      <c r="D8" s="23" t="n">
        <v>0.12</v>
      </c>
      <c r="E8" s="30" t="inlineStr">
        <is>
          <t>Isolated + Core as negatives; audit &amp; harvest; kill non-converting terms.</t>
        </is>
      </c>
    </row>
    <row r="9">
      <c r="A9" s="27" t="inlineStr">
        <is>
          <t>AI-positioning campaigns/CPP</t>
        </is>
      </c>
      <c r="B9" s="34" t="n">
        <v>0</v>
      </c>
      <c r="C9" s="22">
        <f>B9*35000</f>
        <v/>
      </c>
      <c r="D9" s="23" t="n">
        <v>0.08</v>
      </c>
      <c r="E9" s="30" t="inlineStr">
        <is>
          <t>New: capture users who'd otherwise ask ChatGPT/Gemini to edit a photo.</t>
        </is>
      </c>
    </row>
    <row r="10">
      <c r="A10" s="27" t="inlineStr">
        <is>
          <t>Competitor (Search Results test)</t>
        </is>
      </c>
      <c r="B10" s="34" t="n">
        <v>0.01</v>
      </c>
      <c r="C10" s="22">
        <f>B10*35000</f>
        <v/>
      </c>
      <c r="D10" s="23" t="n">
        <v>0.05</v>
      </c>
      <c r="E10" s="30" t="inlineStr">
        <is>
          <t>Small conquest test in Search Results; Product-Pages competitor killed.</t>
        </is>
      </c>
    </row>
    <row r="11">
      <c r="A11" s="27" t="inlineStr">
        <is>
          <t>Reserve / T1 geo expansion</t>
        </is>
      </c>
      <c r="B11" s="34" t="n">
        <v>0.01</v>
      </c>
      <c r="C11" s="22">
        <f>B11*35000</f>
        <v/>
      </c>
      <c r="D11" s="23" t="n">
        <v>0.02</v>
      </c>
      <c r="E11" s="30" t="inlineStr">
        <is>
          <t>Fund tested new T1 geos; junk geos (UZ/KG) removed.</t>
        </is>
      </c>
    </row>
    <row r="12">
      <c r="A12" s="25" t="inlineStr">
        <is>
          <t>TOTAL</t>
        </is>
      </c>
      <c r="B12" s="35">
        <f>SUM(B5:B11)</f>
        <v/>
      </c>
      <c r="C12" s="36">
        <f>SUM(C5:C11)</f>
        <v/>
      </c>
      <c r="D12" s="35">
        <f>SUM(D5:D11)</f>
        <v/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2026-07-23T12:01:25Z</dcterms:created>
  <dcterms:modified xmlns:dcterms="http://purl.org/dc/terms/" xmlns:xsi="http://www.w3.org/2001/XMLSchema-instance" xsi:type="dcterms:W3CDTF">2026-07-23T12:01:25Z</dcterms:modified>
</cp:coreProperties>
</file>